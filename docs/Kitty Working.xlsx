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2090" activeTab="1"/>
  </bookViews>
  <sheets>
    <sheet name="SNS" sheetId="1" r:id="rId1"/>
    <sheet name="SBS" sheetId="3" r:id="rId2"/>
    <sheet name="SMS" sheetId="2" r:id="rId3"/>
  </sheets>
  <calcPr calcId="162913"/>
</workbook>
</file>

<file path=xl/calcChain.xml><?xml version="1.0" encoding="utf-8"?>
<calcChain xmlns="http://schemas.openxmlformats.org/spreadsheetml/2006/main">
  <c r="C13" i="3" l="1"/>
  <c r="B13" i="3"/>
  <c r="B14" i="2"/>
  <c r="C13" i="1"/>
  <c r="B4" i="1"/>
  <c r="B5" i="1" s="1"/>
  <c r="G3" i="1"/>
  <c r="F3" i="1"/>
  <c r="D3" i="1"/>
  <c r="F2" i="1"/>
  <c r="G2" i="1" s="1"/>
  <c r="D2" i="1"/>
  <c r="B6" i="1" l="1"/>
  <c r="F5" i="1"/>
  <c r="G5" i="1" s="1"/>
  <c r="D5" i="1"/>
  <c r="D4" i="1"/>
  <c r="F4" i="1"/>
  <c r="G4" i="1" s="1"/>
  <c r="F6" i="1" l="1"/>
  <c r="G6" i="1" s="1"/>
  <c r="D6" i="1"/>
  <c r="B7" i="1"/>
  <c r="B8" i="1" l="1"/>
  <c r="F7" i="1"/>
  <c r="D7" i="1"/>
  <c r="G7" i="1" l="1"/>
  <c r="B9" i="1"/>
  <c r="F8" i="1"/>
  <c r="D8" i="1"/>
  <c r="G8" i="1" l="1"/>
  <c r="F9" i="1"/>
  <c r="G9" i="1" s="1"/>
  <c r="D9" i="1"/>
  <c r="B10" i="1"/>
  <c r="B11" i="1" l="1"/>
  <c r="F10" i="1"/>
  <c r="G10" i="1" s="1"/>
  <c r="D10" i="1"/>
  <c r="B12" i="1" l="1"/>
  <c r="F11" i="1"/>
  <c r="D11" i="1"/>
  <c r="G11" i="1" l="1"/>
  <c r="F12" i="1"/>
  <c r="G12" i="1" s="1"/>
  <c r="G13" i="1" s="1"/>
  <c r="I13" i="1" s="1"/>
  <c r="D12" i="1"/>
  <c r="D13" i="1" s="1"/>
</calcChain>
</file>

<file path=xl/sharedStrings.xml><?xml version="1.0" encoding="utf-8"?>
<sst xmlns="http://schemas.openxmlformats.org/spreadsheetml/2006/main" count="17" uniqueCount="13">
  <si>
    <t>Month</t>
  </si>
  <si>
    <t>Gold Rate</t>
  </si>
  <si>
    <t>EMI Amount</t>
  </si>
  <si>
    <t>Qty</t>
  </si>
  <si>
    <t>Rate Difference</t>
  </si>
  <si>
    <t>P&amp;L</t>
  </si>
  <si>
    <t>Purity 22K</t>
  </si>
  <si>
    <t>Total Discounted Amount</t>
  </si>
  <si>
    <t>Amount Paid by PP</t>
  </si>
  <si>
    <t>Maturity Amount</t>
  </si>
  <si>
    <t>Making Charges</t>
  </si>
  <si>
    <t>Minus Above from final amount</t>
  </si>
  <si>
    <t>Minus Above Making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</si>
</sst>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u/>
      <sz val="10"/>
      <color theme="1"/>
      <name val="Arial"/>
      <scheme val="minor"/>
    </font>
    <font>
      <b/>
      <u/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4" fontId="1" fillId="0" borderId="0" xfId="0" applyNumberFormat="1" applyFont="1"/>
    <xf numFmtId="0" fontId="1" fillId="0" borderId="0" xfId="0" applyFont="1"/>
    <xf numFmtId="0" fontId="2" fillId="0" borderId="0" xfId="0" applyFont="1"/>
    <xf numFmtId="4" fontId="3" fillId="0" borderId="0" xfId="0" applyNumberFormat="1" applyFont="1"/>
    <xf numFmtId="4" fontId="4" fillId="0" borderId="0" xfId="0" applyNumberFormat="1" applyFont="1"/>
    <xf numFmtId="0" fontId="4" fillId="2" borderId="0" xfId="0" applyFont="1" applyFill="1" applyAlignment="1"/>
    <xf numFmtId="0" fontId="5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3"/>
  <sheetViews>
    <sheetView workbookViewId="0">
      <selection sqref="A1:C12"/>
    </sheetView>
  </sheetViews>
  <sheetFormatPr defaultColWidth="12.5703125" defaultRowHeight="15.75" customHeight="1" x14ac:dyDescent="0.2"/>
  <cols>
    <col min="8" max="8" width="19.42578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spans="1:9" x14ac:dyDescent="0.2">
      <c r="A2" s="1">
        <v>1</v>
      </c>
      <c r="B2" s="1">
        <v>5000</v>
      </c>
      <c r="C2" s="1">
        <v>8000</v>
      </c>
      <c r="D2" s="2">
        <f t="shared" ref="D2:D12" si="0">C2/B2</f>
        <v>1.6</v>
      </c>
      <c r="F2" s="3">
        <f t="shared" ref="F2:F12" si="1">7000-B2</f>
        <v>2000</v>
      </c>
      <c r="G2" s="2">
        <f t="shared" ref="G2:G12" si="2">F2*D2</f>
        <v>3200</v>
      </c>
    </row>
    <row r="3" spans="1:9" x14ac:dyDescent="0.2">
      <c r="A3" s="1">
        <v>2</v>
      </c>
      <c r="B3" s="1">
        <v>5200</v>
      </c>
      <c r="C3" s="1">
        <v>8000</v>
      </c>
      <c r="D3" s="2">
        <f t="shared" si="0"/>
        <v>1.5384615384615385</v>
      </c>
      <c r="F3" s="3">
        <f t="shared" si="1"/>
        <v>1800</v>
      </c>
      <c r="G3" s="2">
        <f t="shared" si="2"/>
        <v>2769.2307692307695</v>
      </c>
    </row>
    <row r="4" spans="1:9" x14ac:dyDescent="0.2">
      <c r="A4" s="1">
        <v>3</v>
      </c>
      <c r="B4" s="3">
        <f t="shared" ref="B4:B12" si="3">B3+200</f>
        <v>5400</v>
      </c>
      <c r="C4" s="1">
        <v>8000</v>
      </c>
      <c r="D4" s="2">
        <f t="shared" si="0"/>
        <v>1.4814814814814814</v>
      </c>
      <c r="F4" s="3">
        <f t="shared" si="1"/>
        <v>1600</v>
      </c>
      <c r="G4" s="2">
        <f t="shared" si="2"/>
        <v>2370.3703703703704</v>
      </c>
    </row>
    <row r="5" spans="1:9" x14ac:dyDescent="0.2">
      <c r="A5" s="1">
        <v>4</v>
      </c>
      <c r="B5" s="3">
        <f t="shared" si="3"/>
        <v>5600</v>
      </c>
      <c r="C5" s="1">
        <v>8000</v>
      </c>
      <c r="D5" s="2">
        <f t="shared" si="0"/>
        <v>1.4285714285714286</v>
      </c>
      <c r="F5" s="3">
        <f t="shared" si="1"/>
        <v>1400</v>
      </c>
      <c r="G5" s="2">
        <f t="shared" si="2"/>
        <v>2000</v>
      </c>
    </row>
    <row r="6" spans="1:9" x14ac:dyDescent="0.2">
      <c r="A6" s="1">
        <v>5</v>
      </c>
      <c r="B6" s="3">
        <f t="shared" si="3"/>
        <v>5800</v>
      </c>
      <c r="C6" s="1">
        <v>8000</v>
      </c>
      <c r="D6" s="2">
        <f t="shared" si="0"/>
        <v>1.3793103448275863</v>
      </c>
      <c r="F6" s="3">
        <f t="shared" si="1"/>
        <v>1200</v>
      </c>
      <c r="G6" s="2">
        <f t="shared" si="2"/>
        <v>1655.1724137931035</v>
      </c>
    </row>
    <row r="7" spans="1:9" x14ac:dyDescent="0.2">
      <c r="A7" s="1">
        <v>6</v>
      </c>
      <c r="B7" s="3">
        <f t="shared" si="3"/>
        <v>6000</v>
      </c>
      <c r="C7" s="1">
        <v>8000</v>
      </c>
      <c r="D7" s="2">
        <f t="shared" si="0"/>
        <v>1.3333333333333333</v>
      </c>
      <c r="F7" s="3">
        <f t="shared" si="1"/>
        <v>1000</v>
      </c>
      <c r="G7" s="2">
        <f t="shared" si="2"/>
        <v>1333.3333333333333</v>
      </c>
    </row>
    <row r="8" spans="1:9" x14ac:dyDescent="0.2">
      <c r="A8" s="1">
        <v>7</v>
      </c>
      <c r="B8" s="3">
        <f t="shared" si="3"/>
        <v>6200</v>
      </c>
      <c r="C8" s="1">
        <v>8000</v>
      </c>
      <c r="D8" s="2">
        <f t="shared" si="0"/>
        <v>1.2903225806451613</v>
      </c>
      <c r="F8" s="3">
        <f t="shared" si="1"/>
        <v>800</v>
      </c>
      <c r="G8" s="2">
        <f t="shared" si="2"/>
        <v>1032.258064516129</v>
      </c>
    </row>
    <row r="9" spans="1:9" x14ac:dyDescent="0.2">
      <c r="A9" s="1">
        <v>8</v>
      </c>
      <c r="B9" s="3">
        <f t="shared" si="3"/>
        <v>6400</v>
      </c>
      <c r="C9" s="1">
        <v>8000</v>
      </c>
      <c r="D9" s="2">
        <f t="shared" si="0"/>
        <v>1.25</v>
      </c>
      <c r="F9" s="3">
        <f t="shared" si="1"/>
        <v>600</v>
      </c>
      <c r="G9" s="2">
        <f t="shared" si="2"/>
        <v>750</v>
      </c>
    </row>
    <row r="10" spans="1:9" x14ac:dyDescent="0.2">
      <c r="A10" s="1">
        <v>9</v>
      </c>
      <c r="B10" s="3">
        <f t="shared" si="3"/>
        <v>6600</v>
      </c>
      <c r="C10" s="1">
        <v>8000</v>
      </c>
      <c r="D10" s="2">
        <f t="shared" si="0"/>
        <v>1.2121212121212122</v>
      </c>
      <c r="F10" s="3">
        <f t="shared" si="1"/>
        <v>400</v>
      </c>
      <c r="G10" s="2">
        <f t="shared" si="2"/>
        <v>484.84848484848487</v>
      </c>
    </row>
    <row r="11" spans="1:9" x14ac:dyDescent="0.2">
      <c r="A11" s="1">
        <v>10</v>
      </c>
      <c r="B11" s="3">
        <f t="shared" si="3"/>
        <v>6800</v>
      </c>
      <c r="C11" s="1">
        <v>8000</v>
      </c>
      <c r="D11" s="2">
        <f t="shared" si="0"/>
        <v>1.1764705882352942</v>
      </c>
      <c r="F11" s="3">
        <f t="shared" si="1"/>
        <v>200</v>
      </c>
      <c r="G11" s="2">
        <f t="shared" si="2"/>
        <v>235.29411764705884</v>
      </c>
    </row>
    <row r="12" spans="1:9" x14ac:dyDescent="0.2">
      <c r="A12" s="1">
        <v>11</v>
      </c>
      <c r="B12" s="3">
        <f t="shared" si="3"/>
        <v>7000</v>
      </c>
      <c r="C12" s="1">
        <v>8000</v>
      </c>
      <c r="D12" s="2">
        <f t="shared" si="0"/>
        <v>1.1428571428571428</v>
      </c>
      <c r="F12" s="3">
        <f t="shared" si="1"/>
        <v>0</v>
      </c>
      <c r="G12" s="2">
        <f t="shared" si="2"/>
        <v>0</v>
      </c>
    </row>
    <row r="13" spans="1:9" x14ac:dyDescent="0.2">
      <c r="C13" s="4">
        <f t="shared" ref="C13:D13" si="4">SUM(C2:C12)</f>
        <v>88000</v>
      </c>
      <c r="D13" s="5">
        <f t="shared" si="4"/>
        <v>14.832929650534179</v>
      </c>
      <c r="E13" s="1" t="s">
        <v>6</v>
      </c>
      <c r="G13" s="6">
        <f>SUM(G2:G12)</f>
        <v>15830.507553739249</v>
      </c>
      <c r="H13" s="1" t="s">
        <v>7</v>
      </c>
      <c r="I13" s="6">
        <f>G13+C13</f>
        <v>103830.50755373925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zoomScale="188" workbookViewId="0">
      <selection activeCell="B16" sqref="B16"/>
    </sheetView>
  </sheetViews>
  <sheetFormatPr defaultRowHeight="12.75" x14ac:dyDescent="0.2"/>
  <cols>
    <col min="1" max="1" width="6.28515625" bestFit="1" customWidth="1"/>
    <col min="2" max="2" width="27.7109375" bestFit="1" customWidth="1"/>
    <col min="3" max="3" width="26.7109375" bestFit="1" customWidth="1"/>
  </cols>
  <sheetData>
    <row r="1" spans="1:3" x14ac:dyDescent="0.2">
      <c r="A1" s="1" t="s">
        <v>0</v>
      </c>
      <c r="B1" s="1" t="s">
        <v>2</v>
      </c>
      <c r="C1" s="9" t="s">
        <v>10</v>
      </c>
    </row>
    <row r="2" spans="1:3" x14ac:dyDescent="0.2">
      <c r="A2" s="1">
        <v>1</v>
      </c>
      <c r="B2" s="1">
        <v>5000</v>
      </c>
    </row>
    <row r="3" spans="1:3" x14ac:dyDescent="0.2">
      <c r="A3" s="1">
        <v>2</v>
      </c>
      <c r="B3" s="1">
        <v>5000</v>
      </c>
    </row>
    <row r="4" spans="1:3" x14ac:dyDescent="0.2">
      <c r="A4" s="1">
        <v>3</v>
      </c>
      <c r="B4" s="1">
        <v>5000</v>
      </c>
    </row>
    <row r="5" spans="1:3" x14ac:dyDescent="0.2">
      <c r="A5" s="1">
        <v>4</v>
      </c>
      <c r="B5" s="1">
        <v>5000</v>
      </c>
    </row>
    <row r="6" spans="1:3" x14ac:dyDescent="0.2">
      <c r="A6" s="1">
        <v>5</v>
      </c>
      <c r="B6" s="1">
        <v>5000</v>
      </c>
    </row>
    <row r="7" spans="1:3" x14ac:dyDescent="0.2">
      <c r="A7" s="1">
        <v>6</v>
      </c>
      <c r="B7" s="1">
        <v>5000</v>
      </c>
    </row>
    <row r="8" spans="1:3" x14ac:dyDescent="0.2">
      <c r="A8" s="1">
        <v>7</v>
      </c>
      <c r="B8" s="1">
        <v>5000</v>
      </c>
    </row>
    <row r="9" spans="1:3" x14ac:dyDescent="0.2">
      <c r="A9" s="1">
        <v>8</v>
      </c>
      <c r="B9" s="1">
        <v>5000</v>
      </c>
    </row>
    <row r="10" spans="1:3" x14ac:dyDescent="0.2">
      <c r="A10" s="1">
        <v>9</v>
      </c>
      <c r="B10" s="1">
        <v>5000</v>
      </c>
    </row>
    <row r="11" spans="1:3" x14ac:dyDescent="0.2">
      <c r="A11" s="1">
        <v>10</v>
      </c>
      <c r="B11" s="1">
        <v>5000</v>
      </c>
    </row>
    <row r="12" spans="1:3" x14ac:dyDescent="0.2">
      <c r="A12" s="1">
        <v>11</v>
      </c>
      <c r="B12" s="1">
        <v>5000</v>
      </c>
    </row>
    <row r="13" spans="1:3" x14ac:dyDescent="0.2">
      <c r="B13" s="8">
        <f>SUM(B2:B12)</f>
        <v>55000</v>
      </c>
      <c r="C13">
        <f>B13*18%</f>
        <v>9900</v>
      </c>
    </row>
    <row r="14" spans="1:3" x14ac:dyDescent="0.2">
      <c r="B14" s="9" t="s">
        <v>11</v>
      </c>
      <c r="C14" s="9" t="s">
        <v>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4"/>
  <sheetViews>
    <sheetView workbookViewId="0"/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2</v>
      </c>
    </row>
    <row r="2" spans="1:4" x14ac:dyDescent="0.2">
      <c r="A2" s="1">
        <v>1</v>
      </c>
      <c r="B2" s="1">
        <v>8000</v>
      </c>
    </row>
    <row r="3" spans="1:4" x14ac:dyDescent="0.2">
      <c r="A3" s="1">
        <v>2</v>
      </c>
      <c r="B3" s="1">
        <v>8000</v>
      </c>
    </row>
    <row r="4" spans="1:4" x14ac:dyDescent="0.2">
      <c r="A4" s="1">
        <v>3</v>
      </c>
      <c r="B4" s="1">
        <v>8000</v>
      </c>
    </row>
    <row r="5" spans="1:4" x14ac:dyDescent="0.2">
      <c r="A5" s="1">
        <v>4</v>
      </c>
      <c r="B5" s="1">
        <v>8000</v>
      </c>
    </row>
    <row r="6" spans="1:4" x14ac:dyDescent="0.2">
      <c r="A6" s="1">
        <v>5</v>
      </c>
      <c r="B6" s="1">
        <v>8000</v>
      </c>
    </row>
    <row r="7" spans="1:4" x14ac:dyDescent="0.2">
      <c r="A7" s="1">
        <v>6</v>
      </c>
      <c r="B7" s="1">
        <v>8000</v>
      </c>
    </row>
    <row r="8" spans="1:4" x14ac:dyDescent="0.2">
      <c r="A8" s="1">
        <v>7</v>
      </c>
      <c r="B8" s="1">
        <v>8000</v>
      </c>
    </row>
    <row r="9" spans="1:4" x14ac:dyDescent="0.2">
      <c r="A9" s="1">
        <v>8</v>
      </c>
      <c r="B9" s="1">
        <v>8000</v>
      </c>
    </row>
    <row r="10" spans="1:4" x14ac:dyDescent="0.2">
      <c r="A10" s="1">
        <v>9</v>
      </c>
      <c r="B10" s="1">
        <v>8000</v>
      </c>
    </row>
    <row r="11" spans="1:4" x14ac:dyDescent="0.2">
      <c r="A11" s="1">
        <v>10</v>
      </c>
      <c r="B11" s="1">
        <v>8000</v>
      </c>
    </row>
    <row r="12" spans="1:4" x14ac:dyDescent="0.2">
      <c r="A12" s="1">
        <v>11</v>
      </c>
      <c r="B12" s="1">
        <v>8000</v>
      </c>
    </row>
    <row r="13" spans="1:4" x14ac:dyDescent="0.2">
      <c r="A13" s="1">
        <v>12</v>
      </c>
      <c r="B13" s="7">
        <v>8000</v>
      </c>
      <c r="D13" s="1" t="s">
        <v>8</v>
      </c>
    </row>
    <row r="14" spans="1:4" x14ac:dyDescent="0.2">
      <c r="B14" s="3">
        <f>SUM(B2:B13)</f>
        <v>96000</v>
      </c>
      <c r="C1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SNS</vt:lpstr>
      <vt:lpstr>SBS</vt:lpstr>
      <vt:lpstr>SMS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2026-08-06T17:15:03Z</dcterms:modified>
</cp:coreProperties>
</file>